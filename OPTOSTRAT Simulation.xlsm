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ll\Desktop\OPTOSTRAT\"/>
    </mc:Choice>
  </mc:AlternateContent>
  <bookViews>
    <workbookView xWindow="-120" yWindow="-120" windowWidth="20730" windowHeight="11160"/>
  </bookViews>
  <sheets>
    <sheet name="Cost Estimate" sheetId="4" r:id="rId1"/>
    <sheet name="Work" sheetId="2" r:id="rId2"/>
  </sheet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21" i="2" l="1"/>
  <c r="M21" i="2"/>
  <c r="K21" i="2"/>
  <c r="R20" i="2"/>
  <c r="M20" i="2"/>
  <c r="K20" i="2"/>
  <c r="R19" i="2"/>
  <c r="M19" i="2"/>
  <c r="K19" i="2"/>
  <c r="R18" i="2"/>
  <c r="M18" i="2"/>
  <c r="K18" i="2"/>
  <c r="R17" i="2"/>
  <c r="M17" i="2"/>
  <c r="K17" i="2"/>
  <c r="R16" i="2"/>
  <c r="M16" i="2"/>
  <c r="K16" i="2"/>
  <c r="R15" i="2"/>
  <c r="M15" i="2"/>
  <c r="K15" i="2"/>
  <c r="R14" i="2"/>
  <c r="M14" i="2"/>
  <c r="K14" i="2"/>
  <c r="R13" i="2"/>
  <c r="M13" i="2"/>
  <c r="K13" i="2"/>
  <c r="R12" i="2"/>
  <c r="M12" i="2"/>
  <c r="K12" i="2"/>
  <c r="R11" i="2"/>
  <c r="M11" i="2"/>
  <c r="K11" i="2"/>
  <c r="R10" i="2"/>
  <c r="M10" i="2"/>
  <c r="K10" i="2"/>
  <c r="R9" i="2"/>
  <c r="M9" i="2"/>
  <c r="K9" i="2"/>
  <c r="R8" i="2"/>
  <c r="M8" i="2"/>
  <c r="K8" i="2"/>
  <c r="R7" i="2"/>
  <c r="M7" i="2"/>
  <c r="K7" i="2"/>
  <c r="R6" i="2"/>
  <c r="M6" i="2"/>
  <c r="K6" i="2"/>
  <c r="R5" i="2"/>
  <c r="M5" i="2"/>
  <c r="K5" i="2"/>
  <c r="R4" i="2"/>
  <c r="M4" i="2"/>
  <c r="K4" i="2"/>
  <c r="R3" i="2"/>
  <c r="M3" i="2"/>
  <c r="K3" i="2"/>
  <c r="O17" i="2" l="1"/>
  <c r="T17" i="2" s="1"/>
  <c r="O21" i="2"/>
  <c r="T21" i="2" s="1"/>
  <c r="O14" i="2"/>
  <c r="T14" i="2" s="1"/>
  <c r="O13" i="2"/>
  <c r="T13" i="2" s="1"/>
  <c r="O11" i="2"/>
  <c r="T11" i="2" s="1"/>
  <c r="O6" i="2"/>
  <c r="T6" i="2" s="1"/>
  <c r="O5" i="2"/>
  <c r="T5" i="2" s="1"/>
  <c r="O20" i="2"/>
  <c r="T20" i="2" s="1"/>
  <c r="O19" i="2"/>
  <c r="T19" i="2" s="1"/>
  <c r="O18" i="2"/>
  <c r="T18" i="2" s="1"/>
  <c r="O16" i="2"/>
  <c r="T16" i="2" s="1"/>
  <c r="O15" i="2"/>
  <c r="T15" i="2" s="1"/>
  <c r="O12" i="2"/>
  <c r="T12" i="2" s="1"/>
  <c r="O10" i="2"/>
  <c r="T10" i="2" s="1"/>
  <c r="O9" i="2"/>
  <c r="T9" i="2" s="1"/>
  <c r="O8" i="2"/>
  <c r="T8" i="2" s="1"/>
  <c r="O7" i="2"/>
  <c r="T7" i="2" s="1"/>
  <c r="O4" i="2"/>
  <c r="T4" i="2" s="1"/>
  <c r="O3" i="2"/>
  <c r="T3" i="2" s="1"/>
  <c r="M24" i="2" l="1"/>
</calcChain>
</file>

<file path=xl/sharedStrings.xml><?xml version="1.0" encoding="utf-8"?>
<sst xmlns="http://schemas.openxmlformats.org/spreadsheetml/2006/main" count="19" uniqueCount="16">
  <si>
    <t>States</t>
  </si>
  <si>
    <t>Transport cost</t>
  </si>
  <si>
    <t>BIG WH</t>
  </si>
  <si>
    <t>SMALL WH</t>
  </si>
  <si>
    <t>BIG FC</t>
  </si>
  <si>
    <t>SMALL FC</t>
  </si>
  <si>
    <t>TOTAL FC</t>
  </si>
  <si>
    <t>Trans on BIG</t>
  </si>
  <si>
    <t>Cost</t>
  </si>
  <si>
    <t>NO OF STATES SERVED</t>
  </si>
  <si>
    <t>Taxes</t>
  </si>
  <si>
    <t>COST 2</t>
  </si>
  <si>
    <t>*</t>
  </si>
  <si>
    <t>=</t>
  </si>
  <si>
    <t>+</t>
  </si>
  <si>
    <t>TOTAL COST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</si>
</sst>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3" fillId="0" borderId="0" xfId="0" applyFont="1" applyFill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0" fontId="1" fillId="0" borderId="0" xfId="0" applyFont="1" applyFill="1" applyBorder="1" applyProtection="1">
      <protection locked="0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0</xdr:row>
          <xdr:rowOff>104775</xdr:rowOff>
        </xdr:from>
        <xdr:to>
          <xdr:col>2</xdr:col>
          <xdr:colOff>285750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4"/>
  <sheetViews>
    <sheetView tabSelected="1" view="pageBreakPreview" zoomScale="190" zoomScaleNormal="100" zoomScaleSheetLayoutView="190" workbookViewId="0">
      <selection activeCell="C9" sqref="C9"/>
    </sheetView>
  </sheetViews>
  <sheetFormatPr defaultRowHeight="15" x14ac:dyDescent="0.25"/>
  <cols>
    <col min="1" max="1" width="14.140625" bestFit="1" customWidth="1"/>
  </cols>
  <sheetData>
    <row r="1" spans="1:3" x14ac:dyDescent="0.25">
      <c r="A1" s="7">
        <v>1</v>
      </c>
      <c r="B1" s="7"/>
      <c r="C1" s="7"/>
    </row>
    <row r="2" spans="1:3" x14ac:dyDescent="0.25">
      <c r="A2" s="7"/>
      <c r="B2" s="7"/>
      <c r="C2" s="7"/>
    </row>
    <row r="3" spans="1:3" x14ac:dyDescent="0.25">
      <c r="A3" s="7"/>
      <c r="B3" s="7"/>
      <c r="C3" s="7"/>
    </row>
    <row r="4" spans="1:3" x14ac:dyDescent="0.25">
      <c r="A4" s="7"/>
      <c r="B4" s="7"/>
      <c r="C4" s="7"/>
    </row>
  </sheetData>
  <mergeCells count="1">
    <mergeCell ref="A1:C4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371475</xdr:colOff>
                    <xdr:row>0</xdr:row>
                    <xdr:rowOff>104775</xdr:rowOff>
                  </from>
                  <to>
                    <xdr:col>2</xdr:col>
                    <xdr:colOff>285750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T25"/>
  <sheetViews>
    <sheetView topLeftCell="A2" workbookViewId="0">
      <selection activeCell="E2" sqref="E2:F21"/>
    </sheetView>
  </sheetViews>
  <sheetFormatPr defaultRowHeight="15" x14ac:dyDescent="0.25"/>
  <cols>
    <col min="1" max="2" width="9.140625" style="2"/>
    <col min="3" max="3" width="15" style="2" customWidth="1"/>
    <col min="4" max="4" width="9.140625" style="2"/>
    <col min="5" max="5" width="12.85546875" style="2" customWidth="1"/>
    <col min="6" max="6" width="10.28515625" style="2" bestFit="1" customWidth="1"/>
    <col min="7" max="7" width="9.140625" style="2"/>
    <col min="8" max="8" width="10.28515625" style="2" customWidth="1"/>
    <col min="9" max="9" width="11.7109375" style="2" customWidth="1"/>
    <col min="10" max="12" width="9.140625" style="2"/>
    <col min="13" max="13" width="11.85546875" style="2" bestFit="1" customWidth="1"/>
    <col min="14" max="16" width="9.140625" style="2"/>
    <col min="17" max="17" width="10.140625" style="2" customWidth="1"/>
    <col min="18" max="16384" width="9.140625" style="2"/>
  </cols>
  <sheetData>
    <row r="1" spans="2:20" x14ac:dyDescent="0.25">
      <c r="B1" s="1" t="s">
        <v>0</v>
      </c>
      <c r="C1" s="1" t="s">
        <v>1</v>
      </c>
      <c r="D1" s="1"/>
      <c r="E1" s="1" t="s">
        <v>2</v>
      </c>
      <c r="F1" s="1" t="s">
        <v>3</v>
      </c>
      <c r="G1" s="1"/>
      <c r="H1" s="1" t="s">
        <v>4</v>
      </c>
      <c r="I1" s="1" t="s">
        <v>5</v>
      </c>
      <c r="J1" s="1"/>
      <c r="K1" s="1" t="s">
        <v>6</v>
      </c>
      <c r="L1" s="1"/>
      <c r="M1" s="1" t="s">
        <v>7</v>
      </c>
      <c r="N1" s="1"/>
      <c r="O1" s="1" t="s">
        <v>8</v>
      </c>
      <c r="P1" s="1"/>
      <c r="Q1" s="1" t="s">
        <v>9</v>
      </c>
      <c r="R1" s="1" t="s">
        <v>10</v>
      </c>
      <c r="S1" s="1"/>
      <c r="T1" s="1" t="s">
        <v>11</v>
      </c>
    </row>
    <row r="2" spans="2:20" x14ac:dyDescent="0.25">
      <c r="E2" s="6"/>
      <c r="F2" s="6"/>
    </row>
    <row r="3" spans="2:20" x14ac:dyDescent="0.25">
      <c r="B3" s="3">
        <v>1</v>
      </c>
      <c r="C3" s="2">
        <v>600</v>
      </c>
      <c r="E3" s="6">
        <v>1</v>
      </c>
      <c r="F3" s="6"/>
      <c r="H3" s="2">
        <v>3000</v>
      </c>
      <c r="I3" s="2">
        <v>1000</v>
      </c>
      <c r="K3" s="3">
        <f t="shared" ref="K3:K21" si="0">SUMPRODUCT(E3:F3,H3:I3)</f>
        <v>3000</v>
      </c>
      <c r="M3" s="3">
        <f t="shared" ref="M3:M21" si="1">E3*C3</f>
        <v>600</v>
      </c>
      <c r="O3" s="2">
        <f>M3+K3</f>
        <v>3600</v>
      </c>
      <c r="Q3" s="2">
        <v>2</v>
      </c>
      <c r="R3" s="2">
        <f>Q3*100*E3</f>
        <v>200</v>
      </c>
      <c r="T3" s="2">
        <f>O3+R3</f>
        <v>3800</v>
      </c>
    </row>
    <row r="4" spans="2:20" x14ac:dyDescent="0.25">
      <c r="B4" s="3">
        <v>2</v>
      </c>
      <c r="C4" s="2">
        <v>750</v>
      </c>
      <c r="E4" s="6">
        <v>1</v>
      </c>
      <c r="F4" s="6"/>
      <c r="H4" s="2">
        <v>3000</v>
      </c>
      <c r="I4" s="2">
        <v>1000</v>
      </c>
      <c r="K4" s="3">
        <f t="shared" si="0"/>
        <v>3000</v>
      </c>
      <c r="M4" s="3">
        <f t="shared" si="1"/>
        <v>750</v>
      </c>
      <c r="O4" s="2">
        <f t="shared" ref="O4:O21" si="2">M4+K4</f>
        <v>3750</v>
      </c>
      <c r="Q4" s="2">
        <v>3</v>
      </c>
      <c r="R4" s="2">
        <f t="shared" ref="R4:R21" si="3">Q4*100*E4</f>
        <v>300</v>
      </c>
      <c r="T4" s="2">
        <f t="shared" ref="T4:T20" si="4">O4+R4</f>
        <v>4050</v>
      </c>
    </row>
    <row r="5" spans="2:20" x14ac:dyDescent="0.25">
      <c r="B5" s="3">
        <v>3</v>
      </c>
      <c r="C5" s="2">
        <v>900</v>
      </c>
      <c r="E5" s="6">
        <v>1</v>
      </c>
      <c r="F5" s="6"/>
      <c r="H5" s="2">
        <v>3000</v>
      </c>
      <c r="I5" s="2">
        <v>1000</v>
      </c>
      <c r="K5" s="3">
        <f t="shared" si="0"/>
        <v>3000</v>
      </c>
      <c r="M5" s="3">
        <f t="shared" si="1"/>
        <v>900</v>
      </c>
      <c r="O5" s="2">
        <f t="shared" si="2"/>
        <v>3900</v>
      </c>
      <c r="Q5" s="2">
        <v>4</v>
      </c>
      <c r="R5" s="2">
        <f t="shared" si="3"/>
        <v>400</v>
      </c>
      <c r="T5" s="2">
        <f t="shared" si="4"/>
        <v>4300</v>
      </c>
    </row>
    <row r="6" spans="2:20" x14ac:dyDescent="0.25">
      <c r="B6" s="3">
        <v>4</v>
      </c>
      <c r="C6" s="2">
        <v>650</v>
      </c>
      <c r="E6" s="6">
        <v>1</v>
      </c>
      <c r="F6" s="6"/>
      <c r="H6" s="2">
        <v>3000</v>
      </c>
      <c r="I6" s="2">
        <v>1000</v>
      </c>
      <c r="K6" s="3">
        <f t="shared" si="0"/>
        <v>3000</v>
      </c>
      <c r="M6" s="3">
        <f t="shared" si="1"/>
        <v>650</v>
      </c>
      <c r="O6" s="2">
        <f t="shared" si="2"/>
        <v>3650</v>
      </c>
      <c r="Q6" s="2">
        <v>4</v>
      </c>
      <c r="R6" s="2">
        <f t="shared" si="3"/>
        <v>400</v>
      </c>
      <c r="T6" s="2">
        <f t="shared" si="4"/>
        <v>4050</v>
      </c>
    </row>
    <row r="7" spans="2:20" x14ac:dyDescent="0.25">
      <c r="B7" s="3">
        <v>5</v>
      </c>
      <c r="C7" s="2">
        <v>1500</v>
      </c>
      <c r="E7" s="6">
        <v>1</v>
      </c>
      <c r="F7" s="6"/>
      <c r="H7" s="2">
        <v>3000</v>
      </c>
      <c r="I7" s="2">
        <v>1000</v>
      </c>
      <c r="K7" s="3">
        <f t="shared" si="0"/>
        <v>3000</v>
      </c>
      <c r="M7" s="3">
        <f t="shared" si="1"/>
        <v>1500</v>
      </c>
      <c r="O7" s="2">
        <f t="shared" si="2"/>
        <v>4500</v>
      </c>
      <c r="Q7" s="2">
        <v>5</v>
      </c>
      <c r="R7" s="2">
        <f t="shared" si="3"/>
        <v>500</v>
      </c>
      <c r="T7" s="2">
        <f t="shared" si="4"/>
        <v>5000</v>
      </c>
    </row>
    <row r="8" spans="2:20" x14ac:dyDescent="0.25">
      <c r="B8" s="3">
        <v>6</v>
      </c>
      <c r="C8" s="2">
        <v>700</v>
      </c>
      <c r="E8" s="6">
        <v>1</v>
      </c>
      <c r="F8" s="6"/>
      <c r="H8" s="2">
        <v>3000</v>
      </c>
      <c r="I8" s="2">
        <v>1000</v>
      </c>
      <c r="K8" s="3">
        <f>SUMPRODUCT(E8:F8,H8:I8)</f>
        <v>3000</v>
      </c>
      <c r="M8" s="3">
        <f>E8*C8</f>
        <v>700</v>
      </c>
      <c r="O8" s="2">
        <f t="shared" si="2"/>
        <v>3700</v>
      </c>
      <c r="Q8" s="2">
        <v>3</v>
      </c>
      <c r="R8" s="2">
        <f>Q8*100*E8</f>
        <v>300</v>
      </c>
      <c r="T8" s="2">
        <f t="shared" si="4"/>
        <v>4000</v>
      </c>
    </row>
    <row r="9" spans="2:20" x14ac:dyDescent="0.25">
      <c r="B9" s="3">
        <v>7</v>
      </c>
      <c r="C9" s="2">
        <v>800</v>
      </c>
      <c r="E9" s="6">
        <v>1</v>
      </c>
      <c r="F9" s="6"/>
      <c r="H9" s="2">
        <v>3000</v>
      </c>
      <c r="I9" s="2">
        <v>1000</v>
      </c>
      <c r="K9" s="3">
        <f t="shared" si="0"/>
        <v>3000</v>
      </c>
      <c r="M9" s="3">
        <f t="shared" si="1"/>
        <v>800</v>
      </c>
      <c r="O9" s="2">
        <f t="shared" si="2"/>
        <v>3800</v>
      </c>
      <c r="Q9" s="2">
        <v>2</v>
      </c>
      <c r="R9" s="2">
        <f t="shared" si="3"/>
        <v>200</v>
      </c>
      <c r="T9" s="2">
        <f t="shared" si="4"/>
        <v>4000</v>
      </c>
    </row>
    <row r="10" spans="2:20" ht="15.75" x14ac:dyDescent="0.25">
      <c r="B10" s="3">
        <v>8</v>
      </c>
      <c r="C10" s="2">
        <v>1900</v>
      </c>
      <c r="E10" s="6">
        <v>1</v>
      </c>
      <c r="F10" s="6"/>
      <c r="G10" s="4" t="s">
        <v>12</v>
      </c>
      <c r="H10" s="2">
        <v>3000</v>
      </c>
      <c r="I10" s="2">
        <v>1000</v>
      </c>
      <c r="J10" s="4" t="s">
        <v>13</v>
      </c>
      <c r="K10" s="3">
        <f t="shared" si="0"/>
        <v>3000</v>
      </c>
      <c r="L10" s="4" t="s">
        <v>14</v>
      </c>
      <c r="M10" s="3">
        <f t="shared" si="1"/>
        <v>1900</v>
      </c>
      <c r="N10" s="4" t="s">
        <v>13</v>
      </c>
      <c r="O10" s="2">
        <f t="shared" si="2"/>
        <v>4900</v>
      </c>
      <c r="P10" s="4" t="s">
        <v>14</v>
      </c>
      <c r="Q10" s="2">
        <v>6</v>
      </c>
      <c r="R10" s="2">
        <f t="shared" si="3"/>
        <v>600</v>
      </c>
      <c r="S10" s="4" t="s">
        <v>13</v>
      </c>
      <c r="T10" s="2">
        <f t="shared" si="4"/>
        <v>5500</v>
      </c>
    </row>
    <row r="11" spans="2:20" x14ac:dyDescent="0.25">
      <c r="B11" s="3">
        <v>9</v>
      </c>
      <c r="C11" s="2">
        <v>1650</v>
      </c>
      <c r="E11" s="6">
        <v>1</v>
      </c>
      <c r="F11" s="6"/>
      <c r="H11" s="2">
        <v>3000</v>
      </c>
      <c r="I11" s="2">
        <v>1000</v>
      </c>
      <c r="K11" s="3">
        <f t="shared" si="0"/>
        <v>3000</v>
      </c>
      <c r="M11" s="3">
        <f t="shared" si="1"/>
        <v>1650</v>
      </c>
      <c r="O11" s="2">
        <f t="shared" si="2"/>
        <v>4650</v>
      </c>
      <c r="Q11" s="2">
        <v>5</v>
      </c>
      <c r="R11" s="2">
        <f t="shared" si="3"/>
        <v>500</v>
      </c>
      <c r="T11" s="2">
        <f t="shared" si="4"/>
        <v>5150</v>
      </c>
    </row>
    <row r="12" spans="2:20" x14ac:dyDescent="0.25">
      <c r="B12" s="3">
        <v>10</v>
      </c>
      <c r="C12" s="2">
        <v>800</v>
      </c>
      <c r="E12" s="6">
        <v>1</v>
      </c>
      <c r="F12" s="6"/>
      <c r="H12" s="2">
        <v>3000</v>
      </c>
      <c r="I12" s="2">
        <v>1000</v>
      </c>
      <c r="K12" s="3">
        <f t="shared" si="0"/>
        <v>3000</v>
      </c>
      <c r="M12" s="3">
        <f t="shared" si="1"/>
        <v>800</v>
      </c>
      <c r="O12" s="2">
        <f t="shared" si="2"/>
        <v>3800</v>
      </c>
      <c r="Q12" s="2">
        <v>3</v>
      </c>
      <c r="R12" s="2">
        <f t="shared" si="3"/>
        <v>300</v>
      </c>
      <c r="T12" s="2">
        <f t="shared" si="4"/>
        <v>4100</v>
      </c>
    </row>
    <row r="13" spans="2:20" x14ac:dyDescent="0.25">
      <c r="B13" s="3">
        <v>11</v>
      </c>
      <c r="C13" s="2">
        <v>1000</v>
      </c>
      <c r="E13" s="6">
        <v>1</v>
      </c>
      <c r="F13" s="6"/>
      <c r="H13" s="2">
        <v>3000</v>
      </c>
      <c r="I13" s="2">
        <v>1000</v>
      </c>
      <c r="K13" s="3">
        <f t="shared" si="0"/>
        <v>3000</v>
      </c>
      <c r="M13" s="3">
        <f t="shared" si="1"/>
        <v>1000</v>
      </c>
      <c r="O13" s="2">
        <f t="shared" si="2"/>
        <v>4000</v>
      </c>
      <c r="Q13" s="2">
        <v>4</v>
      </c>
      <c r="R13" s="2">
        <f t="shared" si="3"/>
        <v>400</v>
      </c>
      <c r="T13" s="2">
        <f t="shared" si="4"/>
        <v>4400</v>
      </c>
    </row>
    <row r="14" spans="2:20" x14ac:dyDescent="0.25">
      <c r="B14" s="3">
        <v>12</v>
      </c>
      <c r="C14" s="2">
        <v>1100</v>
      </c>
      <c r="E14" s="6">
        <v>1</v>
      </c>
      <c r="F14" s="6"/>
      <c r="H14" s="2">
        <v>3000</v>
      </c>
      <c r="I14" s="2">
        <v>1000</v>
      </c>
      <c r="K14" s="3">
        <f t="shared" si="0"/>
        <v>3000</v>
      </c>
      <c r="M14" s="3">
        <f t="shared" si="1"/>
        <v>1100</v>
      </c>
      <c r="O14" s="2">
        <f t="shared" si="2"/>
        <v>4100</v>
      </c>
      <c r="Q14" s="2">
        <v>4</v>
      </c>
      <c r="R14" s="2">
        <f t="shared" si="3"/>
        <v>400</v>
      </c>
      <c r="T14" s="2">
        <f t="shared" si="4"/>
        <v>4500</v>
      </c>
    </row>
    <row r="15" spans="2:20" x14ac:dyDescent="0.25">
      <c r="B15" s="3">
        <v>13</v>
      </c>
      <c r="C15" s="2">
        <v>1600</v>
      </c>
      <c r="E15" s="6">
        <v>1</v>
      </c>
      <c r="F15" s="6"/>
      <c r="H15" s="2">
        <v>3000</v>
      </c>
      <c r="I15" s="2">
        <v>1000</v>
      </c>
      <c r="K15" s="3">
        <f t="shared" si="0"/>
        <v>3000</v>
      </c>
      <c r="M15" s="3">
        <f t="shared" si="1"/>
        <v>1600</v>
      </c>
      <c r="O15" s="2">
        <f t="shared" si="2"/>
        <v>4600</v>
      </c>
      <c r="Q15" s="2">
        <v>6</v>
      </c>
      <c r="R15" s="2">
        <f t="shared" si="3"/>
        <v>600</v>
      </c>
      <c r="T15" s="2">
        <f t="shared" si="4"/>
        <v>5200</v>
      </c>
    </row>
    <row r="16" spans="2:20" x14ac:dyDescent="0.25">
      <c r="B16" s="3">
        <v>14</v>
      </c>
      <c r="C16" s="2">
        <v>2600</v>
      </c>
      <c r="E16" s="6">
        <v>1</v>
      </c>
      <c r="F16" s="6"/>
      <c r="H16" s="2">
        <v>3000</v>
      </c>
      <c r="I16" s="2">
        <v>1000</v>
      </c>
      <c r="K16" s="3">
        <f t="shared" si="0"/>
        <v>3000</v>
      </c>
      <c r="M16" s="3">
        <f t="shared" si="1"/>
        <v>2600</v>
      </c>
      <c r="O16" s="2">
        <f t="shared" si="2"/>
        <v>5600</v>
      </c>
      <c r="Q16" s="2">
        <v>7</v>
      </c>
      <c r="R16" s="2">
        <f t="shared" si="3"/>
        <v>700</v>
      </c>
      <c r="T16" s="2">
        <f t="shared" si="4"/>
        <v>6300</v>
      </c>
    </row>
    <row r="17" spans="2:20" x14ac:dyDescent="0.25">
      <c r="B17" s="3">
        <v>15</v>
      </c>
      <c r="C17" s="2">
        <v>800</v>
      </c>
      <c r="E17" s="6">
        <v>1</v>
      </c>
      <c r="F17" s="6"/>
      <c r="H17" s="2">
        <v>3000</v>
      </c>
      <c r="I17" s="2">
        <v>1000</v>
      </c>
      <c r="K17" s="3">
        <f t="shared" si="0"/>
        <v>3000</v>
      </c>
      <c r="M17" s="3">
        <f t="shared" si="1"/>
        <v>800</v>
      </c>
      <c r="O17" s="2">
        <f t="shared" si="2"/>
        <v>3800</v>
      </c>
      <c r="Q17" s="2">
        <v>3</v>
      </c>
      <c r="R17" s="2">
        <f t="shared" si="3"/>
        <v>300</v>
      </c>
      <c r="T17" s="2">
        <f t="shared" si="4"/>
        <v>4100</v>
      </c>
    </row>
    <row r="18" spans="2:20" x14ac:dyDescent="0.25">
      <c r="B18" s="3">
        <v>16</v>
      </c>
      <c r="C18" s="2">
        <v>1300</v>
      </c>
      <c r="E18" s="6">
        <v>1</v>
      </c>
      <c r="F18" s="6"/>
      <c r="H18" s="2">
        <v>3000</v>
      </c>
      <c r="I18" s="2">
        <v>1000</v>
      </c>
      <c r="K18" s="3">
        <f t="shared" si="0"/>
        <v>3000</v>
      </c>
      <c r="M18" s="3">
        <f t="shared" si="1"/>
        <v>1300</v>
      </c>
      <c r="O18" s="2">
        <f t="shared" si="2"/>
        <v>4300</v>
      </c>
      <c r="Q18" s="2">
        <v>5</v>
      </c>
      <c r="R18" s="2">
        <f t="shared" si="3"/>
        <v>500</v>
      </c>
      <c r="T18" s="2">
        <f t="shared" si="4"/>
        <v>4800</v>
      </c>
    </row>
    <row r="19" spans="2:20" x14ac:dyDescent="0.25">
      <c r="B19" s="3">
        <v>17</v>
      </c>
      <c r="C19" s="2">
        <v>1400</v>
      </c>
      <c r="E19" s="6">
        <v>1</v>
      </c>
      <c r="F19" s="6"/>
      <c r="H19" s="2">
        <v>3000</v>
      </c>
      <c r="I19" s="2">
        <v>1000</v>
      </c>
      <c r="K19" s="3">
        <f t="shared" si="0"/>
        <v>3000</v>
      </c>
      <c r="M19" s="3">
        <f t="shared" si="1"/>
        <v>1400</v>
      </c>
      <c r="O19" s="2">
        <f t="shared" si="2"/>
        <v>4400</v>
      </c>
      <c r="Q19" s="2">
        <v>5</v>
      </c>
      <c r="R19" s="2">
        <f t="shared" si="3"/>
        <v>500</v>
      </c>
      <c r="T19" s="2">
        <f t="shared" si="4"/>
        <v>4900</v>
      </c>
    </row>
    <row r="20" spans="2:20" x14ac:dyDescent="0.25">
      <c r="B20" s="3">
        <v>18</v>
      </c>
      <c r="C20" s="2">
        <v>750</v>
      </c>
      <c r="E20" s="6">
        <v>1</v>
      </c>
      <c r="F20" s="6"/>
      <c r="H20" s="2">
        <v>3000</v>
      </c>
      <c r="I20" s="2">
        <v>1000</v>
      </c>
      <c r="K20" s="3">
        <f t="shared" si="0"/>
        <v>3000</v>
      </c>
      <c r="M20" s="3">
        <f t="shared" si="1"/>
        <v>750</v>
      </c>
      <c r="O20" s="2">
        <f t="shared" si="2"/>
        <v>3750</v>
      </c>
      <c r="Q20" s="2">
        <v>2</v>
      </c>
      <c r="R20" s="2">
        <f t="shared" si="3"/>
        <v>200</v>
      </c>
      <c r="T20" s="2">
        <f t="shared" si="4"/>
        <v>3950</v>
      </c>
    </row>
    <row r="21" spans="2:20" x14ac:dyDescent="0.25">
      <c r="B21" s="3">
        <v>19</v>
      </c>
      <c r="C21" s="2">
        <v>950</v>
      </c>
      <c r="E21" s="6">
        <v>1</v>
      </c>
      <c r="F21" s="6"/>
      <c r="H21" s="2">
        <v>3000</v>
      </c>
      <c r="I21" s="2">
        <v>1000</v>
      </c>
      <c r="K21" s="3">
        <f t="shared" si="0"/>
        <v>3000</v>
      </c>
      <c r="M21" s="3">
        <f t="shared" si="1"/>
        <v>950</v>
      </c>
      <c r="O21" s="2">
        <f t="shared" si="2"/>
        <v>3950</v>
      </c>
      <c r="Q21" s="2">
        <v>2</v>
      </c>
      <c r="R21" s="2">
        <f t="shared" si="3"/>
        <v>200</v>
      </c>
      <c r="T21" s="2">
        <f>O21+R21</f>
        <v>4150</v>
      </c>
    </row>
    <row r="22" spans="2:20" x14ac:dyDescent="0.25">
      <c r="B22" s="3"/>
      <c r="K22" s="3"/>
      <c r="M22" s="3"/>
    </row>
    <row r="23" spans="2:20" x14ac:dyDescent="0.25">
      <c r="M23" s="2" t="s">
        <v>15</v>
      </c>
    </row>
    <row r="24" spans="2:20" x14ac:dyDescent="0.25">
      <c r="E24" s="5"/>
      <c r="M24" s="2">
        <f>SUM(T3:T21)</f>
        <v>86250</v>
      </c>
    </row>
    <row r="25" spans="2:20" x14ac:dyDescent="0.25">
      <c r="E25" s="5"/>
    </row>
  </sheetData>
  <sheetProtection password="D7C2" sheet="1" objects="1" scenarios="1" selectLockedCells="1"/>
  <dataValidations count="1">
    <dataValidation showInputMessage="1" showErrorMessage="1" sqref="E3:F22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Cost Estimate</vt:lpstr>
      <vt:lpstr>Work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Capt</dc:creator>
  <cp:lastModifiedBy>Dell</cp:lastModifiedBy>
  <dcterms:created xsi:type="dcterms:W3CDTF">2019-12-22T16:41:23Z</dcterms:created>
  <dcterms:modified xsi:type="dcterms:W3CDTF">2019-12-23T12:25:54Z</dcterms:modified>
</cp:coreProperties>
</file>